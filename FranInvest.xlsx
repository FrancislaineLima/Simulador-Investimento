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ocuments\"/>
    </mc:Choice>
  </mc:AlternateContent>
  <xr:revisionPtr revIDLastSave="0" documentId="13_ncr:1_{2355CD08-9773-4B84-8E8D-ED5EC79E8E1D}" xr6:coauthVersionLast="47" xr6:coauthVersionMax="47" xr10:uidLastSave="{00000000-0000-0000-0000-000000000000}"/>
  <bookViews>
    <workbookView xWindow="-120" yWindow="-120" windowWidth="29040" windowHeight="15840" tabRatio="125" xr2:uid="{6EF91284-86B3-44C4-8BD4-322797E63D7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36" i="1"/>
  <c r="A23" i="2"/>
  <c r="A22" i="2"/>
  <c r="A21" i="2"/>
  <c r="A20" i="2"/>
  <c r="A19" i="2"/>
  <c r="A18" i="2"/>
  <c r="A15" i="2"/>
  <c r="A14" i="2"/>
  <c r="A13" i="2"/>
  <c r="A12" i="2"/>
  <c r="A11" i="2"/>
  <c r="A10" i="2"/>
  <c r="A3" i="2"/>
  <c r="A4" i="2"/>
  <c r="A5" i="2"/>
  <c r="A6" i="2"/>
  <c r="A7" i="2"/>
  <c r="A2" i="2"/>
  <c r="E32" i="1"/>
  <c r="E15" i="1"/>
  <c r="E26" i="1"/>
  <c r="F26" i="1" s="1"/>
  <c r="E27" i="1"/>
  <c r="F27" i="1" s="1"/>
  <c r="E28" i="1"/>
  <c r="F28" i="1" s="1"/>
  <c r="E29" i="1"/>
  <c r="F29" i="1" s="1"/>
  <c r="E25" i="1"/>
  <c r="F25" i="1" s="1"/>
  <c r="E21" i="1"/>
  <c r="E22" i="1" s="1"/>
  <c r="F37" i="1" l="1"/>
  <c r="F38" i="1"/>
  <c r="F40" i="1"/>
  <c r="F39" i="1"/>
  <c r="F41" i="1"/>
  <c r="F36" i="1"/>
  <c r="F42" i="1" l="1"/>
</calcChain>
</file>

<file path=xl/sharedStrings.xml><?xml version="1.0" encoding="utf-8"?>
<sst xmlns="http://schemas.openxmlformats.org/spreadsheetml/2006/main" count="78" uniqueCount="36">
  <si>
    <t>INVESTIMENTO MENSAL</t>
  </si>
  <si>
    <t>Quanto invertir por mês?</t>
  </si>
  <si>
    <t>Por quantos anos?</t>
  </si>
  <si>
    <t>Taxa de rendimento mensal?</t>
  </si>
  <si>
    <t>Patrimônio acumulado?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</si>
  <si>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</si>
  <si>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</si>
  <si>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</si>
  <si>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</si>
  <si>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</si>
  <si>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</si>
  <si>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</si>
  <si>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ANOS</t>
  </si>
  <si>
    <t>DIVIDENDO</t>
  </si>
  <si>
    <t>CONFIGURAÇÕES</t>
  </si>
  <si>
    <t>Salário</t>
  </si>
  <si>
    <t>Rendimento carteira</t>
  </si>
  <si>
    <t>Sugestão de investimento</t>
  </si>
  <si>
    <t>Perfil</t>
  </si>
  <si>
    <t>Valor a ser investido por mês</t>
  </si>
  <si>
    <t>Moderado</t>
  </si>
  <si>
    <t>Conservador</t>
  </si>
  <si>
    <t>Agressivo</t>
  </si>
  <si>
    <t>TIPO DE FII</t>
  </si>
  <si>
    <t>PERCENTURAL SUGERIDO</t>
  </si>
  <si>
    <t>VALORES</t>
  </si>
  <si>
    <t xml:space="preserve"> TIJOLO</t>
  </si>
  <si>
    <t xml:space="preserve"> HÍBRIDOS</t>
  </si>
  <si>
    <t xml:space="preserve"> FOFs</t>
  </si>
  <si>
    <t xml:space="preserve"> DESENVOLVIMENTO</t>
  </si>
  <si>
    <t xml:space="preserve"> HOTELARIAS</t>
  </si>
  <si>
    <t>PAPEL</t>
  </si>
  <si>
    <t>CHAVE</t>
  </si>
  <si>
    <t xml:space="preserve"> PERFIL</t>
  </si>
  <si>
    <t xml:space="preserve"> TIPO DE FII</t>
  </si>
  <si>
    <t xml:space="preserve">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</si>
</sst>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&quot;R$&quot;\ #,##0.00"/>
    <numFmt numFmtId="167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3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F3BC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3" xfId="0" applyBorder="1"/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0" fillId="0" borderId="0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165" fontId="6" fillId="0" borderId="1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10" fontId="6" fillId="0" borderId="3" xfId="2" applyNumberFormat="1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/>
    </xf>
    <xf numFmtId="10" fontId="6" fillId="0" borderId="13" xfId="2" applyNumberFormat="1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9" xfId="0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9" fontId="0" fillId="0" borderId="13" xfId="2" applyFont="1" applyBorder="1" applyAlignment="1"/>
    <xf numFmtId="0" fontId="0" fillId="0" borderId="19" xfId="0" applyBorder="1" applyAlignment="1"/>
    <xf numFmtId="9" fontId="0" fillId="0" borderId="15" xfId="2" applyFont="1" applyBorder="1" applyAlignment="1"/>
    <xf numFmtId="0" fontId="0" fillId="4" borderId="16" xfId="0" applyFill="1" applyBorder="1"/>
    <xf numFmtId="0" fontId="0" fillId="4" borderId="18" xfId="0" applyFill="1" applyBorder="1"/>
    <xf numFmtId="0" fontId="0" fillId="4" borderId="17" xfId="0" applyFill="1" applyBorder="1"/>
    <xf numFmtId="9" fontId="0" fillId="0" borderId="0" xfId="0" applyNumberFormat="1"/>
    <xf numFmtId="9" fontId="0" fillId="0" borderId="3" xfId="2" applyFont="1" applyBorder="1"/>
    <xf numFmtId="165" fontId="0" fillId="0" borderId="13" xfId="0" applyNumberFormat="1" applyBorder="1"/>
    <xf numFmtId="0" fontId="8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/>
    </xf>
    <xf numFmtId="165" fontId="6" fillId="6" borderId="13" xfId="0" applyNumberFormat="1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165" fontId="6" fillId="6" borderId="19" xfId="0" applyNumberFormat="1" applyFont="1" applyFill="1" applyBorder="1" applyAlignment="1">
      <alignment horizontal="center"/>
    </xf>
    <xf numFmtId="165" fontId="6" fillId="6" borderId="15" xfId="0" applyNumberFormat="1" applyFont="1" applyFill="1" applyBorder="1" applyAlignment="1">
      <alignment horizontal="center"/>
    </xf>
    <xf numFmtId="165" fontId="6" fillId="6" borderId="7" xfId="1" applyNumberFormat="1" applyFont="1" applyFill="1" applyBorder="1" applyAlignment="1">
      <alignment horizontal="center"/>
    </xf>
    <xf numFmtId="0" fontId="3" fillId="6" borderId="3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9" xfId="0" applyFill="1" applyBorder="1"/>
    <xf numFmtId="165" fontId="2" fillId="5" borderId="15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F3B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114301</xdr:colOff>
      <xdr:row>1</xdr:row>
      <xdr:rowOff>47624</xdr:rowOff>
    </xdr:from>
    <xdr:to>
      <xdr:col>5</xdr:col>
      <xdr:colOff>904876</xdr:colOff>
      <xdr:row>7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342B50D-E77F-89BA-0F82-15000226A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299" r="25032" b="27808"/>
        <a:stretch>
          <a:fillRect/>
        </a:stretch>
      </xdr:blipFill>
      <xdr:spPr>
        <a:xfrm>
          <a:off x="2019301" y="238124"/>
          <a:ext cx="5676900" cy="129540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9126-3C0A-431D-8728-E631DB55D347}">
  <dimension ref="B1:N55"/>
  <sheetViews>
    <sheetView showGridLines="0" tabSelected="1" topLeftCell="B1" zoomScaleNormal="100" workbookViewId="0">
      <selection activeCell="B44" sqref="A44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140625" hidden="1" customWidth="1"/>
    <col min="2" max="2" width="28.5703125" customWidth="1"/>
    <col min="3" max="3" width="14.140625" customWidth="1"/>
    <col min="4" max="4" width="27.42578125" bestFit="1" customWidth="1"/>
    <col min="5" max="5" width="31.7109375" bestFit="1" customWidth="1"/>
    <col min="6" max="6" width="15.5703125" bestFit="1" customWidth="1"/>
    <col min="7" max="7" width="14.140625" bestFit="1" customWidth="1"/>
    <col min="8" max="8" width="18.140625" bestFit="1" customWidth="1"/>
    <col min="9" max="9" width="9.140625" customWidth="1"/>
    <col min="10" max="16384" width="9.140625" hidden="1"/>
  </cols>
  <sheetData>
    <row r="1" spans="3:14" x14ac:dyDescent="0.25"/>
    <row r="2" spans="3:14" x14ac:dyDescent="0.25"/>
    <row r="3" spans="3:14" x14ac:dyDescent="0.25"/>
    <row r="4" spans="3:14" x14ac:dyDescent="0.25"/>
    <row r="5" spans="3:14" x14ac:dyDescent="0.25"/>
    <row r="6" spans="3:14" ht="18" customHeight="1" x14ac:dyDescent="0.25"/>
    <row r="7" spans="3:14" x14ac:dyDescent="0.25"/>
    <row r="8" spans="3:14" x14ac:dyDescent="0.25"/>
    <row r="9" spans="3:14" x14ac:dyDescent="0.25"/>
    <row r="10" spans="3:14" x14ac:dyDescent="0.25">
      <c r="K10" s="4"/>
      <c r="L10" s="4"/>
      <c r="M10" s="4"/>
      <c r="N10" s="4"/>
    </row>
    <row r="11" spans="3:14" ht="26.25" customHeight="1" x14ac:dyDescent="0.25">
      <c r="C11" s="45" t="s">
        <v>14</v>
      </c>
      <c r="D11" s="46"/>
      <c r="E11" s="46"/>
      <c r="F11" s="46"/>
      <c r="K11" s="4"/>
      <c r="L11" s="4"/>
      <c r="M11" s="4"/>
      <c r="N11" s="4"/>
    </row>
    <row r="12" spans="3:14" ht="15.75" customHeight="1" x14ac:dyDescent="0.25">
      <c r="C12" s="46"/>
      <c r="D12" s="46"/>
      <c r="E12" s="46"/>
      <c r="F12" s="46"/>
      <c r="K12" s="4"/>
      <c r="L12" s="4"/>
      <c r="M12" s="4"/>
      <c r="N12" s="4"/>
    </row>
    <row r="13" spans="3:14" ht="16.5" x14ac:dyDescent="0.25">
      <c r="C13" s="14" t="s">
        <v>15</v>
      </c>
      <c r="D13" s="14"/>
      <c r="E13" s="15">
        <v>2000</v>
      </c>
      <c r="F13" s="15"/>
      <c r="K13" s="4"/>
      <c r="L13" s="4"/>
      <c r="M13" s="4"/>
      <c r="N13" s="4"/>
    </row>
    <row r="14" spans="3:14" ht="17.25" customHeight="1" x14ac:dyDescent="0.25">
      <c r="C14" s="14" t="s">
        <v>16</v>
      </c>
      <c r="D14" s="14"/>
      <c r="E14" s="16">
        <v>6.0000000000000001E-3</v>
      </c>
      <c r="F14" s="16"/>
      <c r="K14" s="4"/>
      <c r="L14" s="4"/>
      <c r="M14" s="4"/>
      <c r="N14" s="4"/>
    </row>
    <row r="15" spans="3:14" ht="15.75" customHeight="1" x14ac:dyDescent="0.25">
      <c r="C15" s="17" t="s">
        <v>17</v>
      </c>
      <c r="D15" s="17"/>
      <c r="E15" s="18">
        <f>$E$13*30%</f>
        <v>600</v>
      </c>
      <c r="F15" s="18"/>
      <c r="K15" s="4"/>
      <c r="L15" s="4"/>
      <c r="M15" s="4"/>
      <c r="N15" s="4"/>
    </row>
    <row r="16" spans="3:14" ht="17.25" thickBot="1" x14ac:dyDescent="0.3">
      <c r="H16" s="5"/>
      <c r="I16" s="4"/>
      <c r="K16" s="4"/>
      <c r="L16" s="4"/>
      <c r="M16" s="4"/>
      <c r="N16" s="4"/>
    </row>
    <row r="17" spans="3:14" ht="16.5" x14ac:dyDescent="0.25">
      <c r="C17" s="23" t="s">
        <v>0</v>
      </c>
      <c r="D17" s="24"/>
      <c r="E17" s="24"/>
      <c r="F17" s="25"/>
      <c r="G17" s="3"/>
      <c r="H17" s="4"/>
      <c r="I17" s="4"/>
      <c r="L17" s="4"/>
      <c r="M17" s="4"/>
      <c r="N17" s="4"/>
    </row>
    <row r="18" spans="3:14" ht="16.5" x14ac:dyDescent="0.25">
      <c r="C18" s="26" t="s">
        <v>1</v>
      </c>
      <c r="D18" s="19"/>
      <c r="E18" s="20">
        <v>200</v>
      </c>
      <c r="F18" s="27"/>
      <c r="G18" s="3"/>
      <c r="L18" s="4"/>
      <c r="M18" s="4"/>
      <c r="N18" s="4"/>
    </row>
    <row r="19" spans="3:14" ht="16.5" x14ac:dyDescent="0.25">
      <c r="C19" s="26" t="s">
        <v>2</v>
      </c>
      <c r="D19" s="19"/>
      <c r="E19" s="21">
        <v>5</v>
      </c>
      <c r="F19" s="28"/>
      <c r="G19" s="3"/>
      <c r="L19" s="4"/>
      <c r="M19" s="4"/>
      <c r="N19" s="4"/>
    </row>
    <row r="20" spans="3:14" ht="16.5" x14ac:dyDescent="0.25">
      <c r="C20" s="26" t="s">
        <v>3</v>
      </c>
      <c r="D20" s="19"/>
      <c r="E20" s="22">
        <v>1.0789999999999999E-2</v>
      </c>
      <c r="F20" s="29"/>
      <c r="G20" s="6"/>
      <c r="L20" s="4"/>
      <c r="M20" s="4"/>
      <c r="N20" s="4"/>
    </row>
    <row r="21" spans="3:14" ht="16.5" x14ac:dyDescent="0.25">
      <c r="C21" s="47" t="s">
        <v>4</v>
      </c>
      <c r="D21" s="48"/>
      <c r="E21" s="49">
        <f>FV(E20,(E19*12),E18)*-1</f>
        <v>16755.382799697527</v>
      </c>
      <c r="F21" s="50"/>
      <c r="G21" s="3"/>
      <c r="L21" s="4"/>
      <c r="M21" s="4"/>
      <c r="N21" s="4"/>
    </row>
    <row r="22" spans="3:14" ht="17.25" thickBot="1" x14ac:dyDescent="0.3">
      <c r="C22" s="51" t="s">
        <v>5</v>
      </c>
      <c r="D22" s="52"/>
      <c r="E22" s="53">
        <f>E21*$E$14</f>
        <v>100.53229679818516</v>
      </c>
      <c r="F22" s="54"/>
      <c r="G22" s="3"/>
    </row>
    <row r="23" spans="3:14" ht="15.75" thickBot="1" x14ac:dyDescent="0.3">
      <c r="G23" s="3"/>
    </row>
    <row r="24" spans="3:14" ht="17.25" thickBot="1" x14ac:dyDescent="0.3">
      <c r="C24" s="57" t="s">
        <v>12</v>
      </c>
      <c r="D24" s="58" t="s">
        <v>11</v>
      </c>
      <c r="E24" s="59"/>
      <c r="F24" s="60" t="s">
        <v>13</v>
      </c>
      <c r="G24" s="3"/>
    </row>
    <row r="25" spans="3:14" ht="17.25" thickBot="1" x14ac:dyDescent="0.3">
      <c r="C25" s="2">
        <v>2</v>
      </c>
      <c r="D25" s="7" t="s">
        <v>6</v>
      </c>
      <c r="E25" s="11">
        <f>FV($E$20,$C25*12,$E$18)*-1</f>
        <v>5445.5254595290435</v>
      </c>
      <c r="F25" s="55">
        <f>$E25*$E$14</f>
        <v>32.673152757174265</v>
      </c>
      <c r="G25" s="3"/>
    </row>
    <row r="26" spans="3:14" ht="17.25" thickBot="1" x14ac:dyDescent="0.3">
      <c r="C26" s="2">
        <v>5</v>
      </c>
      <c r="D26" s="8" t="s">
        <v>7</v>
      </c>
      <c r="E26" s="10">
        <f>FV($E$20,$C26*12,$E$18)*-1</f>
        <v>16755.382799697527</v>
      </c>
      <c r="F26" s="55">
        <f>$E26*$E$14</f>
        <v>100.53229679818516</v>
      </c>
      <c r="G26" s="3"/>
    </row>
    <row r="27" spans="3:14" ht="17.25" thickBot="1" x14ac:dyDescent="0.3">
      <c r="C27" s="2">
        <v>10</v>
      </c>
      <c r="D27" s="9" t="s">
        <v>8</v>
      </c>
      <c r="E27" s="10">
        <f>FV($E$20,$C27*12,$E$18)*-1</f>
        <v>48656.842506034438</v>
      </c>
      <c r="F27" s="55">
        <f>$E27*$E$14</f>
        <v>291.94105503620665</v>
      </c>
    </row>
    <row r="28" spans="3:14" ht="17.25" thickBot="1" x14ac:dyDescent="0.3">
      <c r="C28" s="2">
        <v>20</v>
      </c>
      <c r="D28" s="8" t="s">
        <v>9</v>
      </c>
      <c r="E28" s="10">
        <f>FV($E$20,$C28*12,$E$18)*-1</f>
        <v>225039.68001941612</v>
      </c>
      <c r="F28" s="55">
        <f>$E28*$E$14</f>
        <v>1350.2380801164968</v>
      </c>
    </row>
    <row r="29" spans="3:14" ht="17.25" thickBot="1" x14ac:dyDescent="0.3">
      <c r="C29" s="2">
        <v>30</v>
      </c>
      <c r="D29" s="8" t="s">
        <v>10</v>
      </c>
      <c r="E29" s="10">
        <f>FV($E$20,$C29*12,$E$18)*-1</f>
        <v>864433.93100094295</v>
      </c>
      <c r="F29" s="55">
        <f>$E29*$E$14</f>
        <v>5186.6035860056581</v>
      </c>
    </row>
    <row r="30" spans="3:14" x14ac:dyDescent="0.25"/>
    <row r="31" spans="3:14" x14ac:dyDescent="0.25">
      <c r="D31" s="56" t="s">
        <v>18</v>
      </c>
      <c r="E31" s="12" t="s">
        <v>22</v>
      </c>
    </row>
    <row r="32" spans="3:14" x14ac:dyDescent="0.25">
      <c r="D32" s="56" t="s">
        <v>19</v>
      </c>
      <c r="E32" s="13">
        <f>E18</f>
        <v>200</v>
      </c>
    </row>
    <row r="33" spans="3:6" x14ac:dyDescent="0.25"/>
    <row r="34" spans="3:6" ht="15.75" thickBot="1" x14ac:dyDescent="0.3"/>
    <row r="35" spans="3:6" ht="16.5" x14ac:dyDescent="0.25">
      <c r="C35" s="61" t="s">
        <v>23</v>
      </c>
      <c r="D35" s="62"/>
      <c r="E35" s="63" t="s">
        <v>24</v>
      </c>
      <c r="F35" s="64" t="s">
        <v>25</v>
      </c>
    </row>
    <row r="36" spans="3:6" x14ac:dyDescent="0.25">
      <c r="C36" s="33" t="s">
        <v>31</v>
      </c>
      <c r="D36" s="34"/>
      <c r="E36" s="43">
        <f>VLOOKUP($E$31&amp;"-"&amp;$C36,Planilha2!A1:D23,4,FALSE)</f>
        <v>0.5</v>
      </c>
      <c r="F36" s="44">
        <f>$E$32*$E36</f>
        <v>100</v>
      </c>
    </row>
    <row r="37" spans="3:6" x14ac:dyDescent="0.25">
      <c r="C37" s="33" t="s">
        <v>26</v>
      </c>
      <c r="D37" s="34"/>
      <c r="E37" s="43">
        <f>VLOOKUP($E$31&amp;"-"&amp;$C37,Planilha2!A2:D24,4,FALSE)</f>
        <v>0.1</v>
      </c>
      <c r="F37" s="44">
        <f>$E$32*$E37</f>
        <v>20</v>
      </c>
    </row>
    <row r="38" spans="3:6" x14ac:dyDescent="0.25">
      <c r="C38" s="33" t="s">
        <v>27</v>
      </c>
      <c r="D38" s="34"/>
      <c r="E38" s="43">
        <f>VLOOKUP($E$31&amp;"-"&amp;$C38,Planilha2!A3:D25,4,FALSE)</f>
        <v>0.05</v>
      </c>
      <c r="F38" s="44">
        <f t="shared" ref="F37:F41" si="0">$E$32*$E38</f>
        <v>10</v>
      </c>
    </row>
    <row r="39" spans="3:6" x14ac:dyDescent="0.25">
      <c r="C39" s="33" t="s">
        <v>28</v>
      </c>
      <c r="D39" s="34"/>
      <c r="E39" s="43">
        <f>VLOOKUP($E$31&amp;"-"&amp;$C39,Planilha2!A4:D26,4,FALSE)</f>
        <v>0.05</v>
      </c>
      <c r="F39" s="44">
        <f t="shared" si="0"/>
        <v>10</v>
      </c>
    </row>
    <row r="40" spans="3:6" x14ac:dyDescent="0.25">
      <c r="C40" s="33" t="s">
        <v>29</v>
      </c>
      <c r="D40" s="34"/>
      <c r="E40" s="43">
        <f>VLOOKUP($E$31&amp;"-"&amp;$C40,Planilha2!A5:D27,4,FALSE)</f>
        <v>0.2</v>
      </c>
      <c r="F40" s="44">
        <f t="shared" si="0"/>
        <v>40</v>
      </c>
    </row>
    <row r="41" spans="3:6" x14ac:dyDescent="0.25">
      <c r="C41" s="33" t="s">
        <v>30</v>
      </c>
      <c r="D41" s="34"/>
      <c r="E41" s="43">
        <f>VLOOKUP($E$31&amp;"-"&amp;$C41,Planilha2!A6:D28,4,FALSE)</f>
        <v>0.1</v>
      </c>
      <c r="F41" s="44">
        <f t="shared" si="0"/>
        <v>20</v>
      </c>
    </row>
    <row r="42" spans="3:6" ht="15.75" thickBot="1" x14ac:dyDescent="0.3">
      <c r="C42" s="65"/>
      <c r="D42" s="66"/>
      <c r="E42" s="67"/>
      <c r="F42" s="68">
        <f>SUM(F36:F41)</f>
        <v>200</v>
      </c>
    </row>
    <row r="43" spans="3:6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</sheetData>
  <mergeCells count="27">
    <mergeCell ref="C41:D41"/>
    <mergeCell ref="C42:D42"/>
    <mergeCell ref="C35:D35"/>
    <mergeCell ref="C36:D36"/>
    <mergeCell ref="C37:D37"/>
    <mergeCell ref="C38:D38"/>
    <mergeCell ref="C39:D39"/>
    <mergeCell ref="C40:D40"/>
    <mergeCell ref="E18:F18"/>
    <mergeCell ref="C15:D15"/>
    <mergeCell ref="C14:D14"/>
    <mergeCell ref="C13:D13"/>
    <mergeCell ref="C11:F12"/>
    <mergeCell ref="E13:F13"/>
    <mergeCell ref="E15:F15"/>
    <mergeCell ref="E14:F14"/>
    <mergeCell ref="C21:D21"/>
    <mergeCell ref="C22:D22"/>
    <mergeCell ref="E22:F22"/>
    <mergeCell ref="E21:F21"/>
    <mergeCell ref="E20:F20"/>
    <mergeCell ref="E19:F19"/>
    <mergeCell ref="C17:F17"/>
    <mergeCell ref="D24:E24"/>
    <mergeCell ref="C18:D18"/>
    <mergeCell ref="C19:D19"/>
    <mergeCell ref="C20:D20"/>
  </mergeCells>
  <conditionalFormatting sqref="E31">
    <cfRule type="containsText" dxfId="3" priority="1" operator="containsText" text="Conservador">
      <formula>NOT(ISERROR(SEARCH("Conservador",E31)))</formula>
    </cfRule>
    <cfRule type="containsText" dxfId="2" priority="2" operator="containsText" text="Moderado">
      <formula>NOT(ISERROR(SEARCH("Moderado",E31)))</formula>
    </cfRule>
    <cfRule type="containsText" dxfId="1" priority="3" operator="containsText" text="Agressivo">
      <formula>NOT(ISERROR(SEARCH("Agressivo",E31)))</formula>
    </cfRule>
    <cfRule type="cellIs" dxfId="0" priority="4" operator="equal">
      <formula>$E$31</formula>
    </cfRule>
  </conditionalFormatting>
  <dataValidations count="1">
    <dataValidation type="list" allowBlank="1" showInputMessage="1" showErrorMessage="1" sqref="E31" xr:uid="{2DFF19A2-6E4E-46C6-8E2F-53E835F8612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6EC6-24EF-4D59-A5F5-3EAECC6F2339}">
  <dimension ref="A1:E23"/>
  <sheetViews>
    <sheetView workbookViewId="0">
      <selection activeCell="E16" sqref="E16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.5703125" customWidth="1"/>
    <col min="4" max="4" width="9.140625" customWidth="1"/>
  </cols>
  <sheetData>
    <row r="1" spans="1:5" x14ac:dyDescent="0.25">
      <c r="A1" s="39" t="s">
        <v>32</v>
      </c>
      <c r="B1" s="40" t="s">
        <v>33</v>
      </c>
      <c r="C1" s="40" t="s">
        <v>34</v>
      </c>
      <c r="D1" s="41" t="s">
        <v>35</v>
      </c>
    </row>
    <row r="2" spans="1:5" x14ac:dyDescent="0.25">
      <c r="A2" s="30" t="str">
        <f>$B2&amp;"-"&amp;$C2</f>
        <v>Conservador-PAPEL</v>
      </c>
      <c r="B2" s="1" t="s">
        <v>21</v>
      </c>
      <c r="C2" s="35" t="s">
        <v>31</v>
      </c>
      <c r="D2" s="36">
        <v>0.3</v>
      </c>
    </row>
    <row r="3" spans="1:5" x14ac:dyDescent="0.25">
      <c r="A3" s="30" t="str">
        <f t="shared" ref="A3:A7" si="0">$B3&amp;"-"&amp;$C3</f>
        <v>Conservador- TIJOLO</v>
      </c>
      <c r="B3" s="1" t="s">
        <v>21</v>
      </c>
      <c r="C3" s="35" t="s">
        <v>26</v>
      </c>
      <c r="D3" s="36">
        <v>0.5</v>
      </c>
    </row>
    <row r="4" spans="1:5" x14ac:dyDescent="0.25">
      <c r="A4" s="30" t="str">
        <f t="shared" si="0"/>
        <v>Conservador- HÍBRIDOS</v>
      </c>
      <c r="B4" s="1" t="s">
        <v>21</v>
      </c>
      <c r="C4" s="35" t="s">
        <v>27</v>
      </c>
      <c r="D4" s="36">
        <v>0.1</v>
      </c>
    </row>
    <row r="5" spans="1:5" x14ac:dyDescent="0.25">
      <c r="A5" s="30" t="str">
        <f t="shared" si="0"/>
        <v>Conservador- FOFs</v>
      </c>
      <c r="B5" s="1" t="s">
        <v>21</v>
      </c>
      <c r="C5" s="35" t="s">
        <v>28</v>
      </c>
      <c r="D5" s="36">
        <v>0.1</v>
      </c>
    </row>
    <row r="6" spans="1:5" x14ac:dyDescent="0.25">
      <c r="A6" s="30" t="str">
        <f t="shared" si="0"/>
        <v>Conservador- DESENVOLVIMENTO</v>
      </c>
      <c r="B6" s="1" t="s">
        <v>21</v>
      </c>
      <c r="C6" s="35" t="s">
        <v>29</v>
      </c>
      <c r="D6" s="36">
        <v>0</v>
      </c>
    </row>
    <row r="7" spans="1:5" ht="15.75" thickBot="1" x14ac:dyDescent="0.3">
      <c r="A7" s="31" t="str">
        <f t="shared" si="0"/>
        <v>Conservador- HOTELARIAS</v>
      </c>
      <c r="B7" s="32" t="s">
        <v>21</v>
      </c>
      <c r="C7" s="37" t="s">
        <v>30</v>
      </c>
      <c r="D7" s="38">
        <v>0</v>
      </c>
    </row>
    <row r="8" spans="1:5" ht="15.75" thickBot="1" x14ac:dyDescent="0.3"/>
    <row r="9" spans="1:5" x14ac:dyDescent="0.25">
      <c r="A9" s="39" t="s">
        <v>32</v>
      </c>
      <c r="B9" s="40" t="s">
        <v>33</v>
      </c>
      <c r="C9" s="40" t="s">
        <v>34</v>
      </c>
      <c r="D9" s="41" t="s">
        <v>35</v>
      </c>
    </row>
    <row r="10" spans="1:5" x14ac:dyDescent="0.25">
      <c r="A10" s="30" t="str">
        <f>$B10&amp;"-"&amp;$C10</f>
        <v>Moderado-PAPEL</v>
      </c>
      <c r="B10" s="1" t="s">
        <v>20</v>
      </c>
      <c r="C10" s="35" t="s">
        <v>31</v>
      </c>
      <c r="D10" s="36">
        <v>0.32</v>
      </c>
    </row>
    <row r="11" spans="1:5" x14ac:dyDescent="0.25">
      <c r="A11" s="30" t="str">
        <f t="shared" ref="A11:A15" si="1">$B11&amp;"-"&amp;$C11</f>
        <v>Moderado- TIJOLO</v>
      </c>
      <c r="B11" s="1" t="s">
        <v>20</v>
      </c>
      <c r="C11" s="35" t="s">
        <v>26</v>
      </c>
      <c r="D11" s="36">
        <v>0.35</v>
      </c>
      <c r="E11" s="42"/>
    </row>
    <row r="12" spans="1:5" x14ac:dyDescent="0.25">
      <c r="A12" s="30" t="str">
        <f t="shared" si="1"/>
        <v>Moderado- HÍBRIDOS</v>
      </c>
      <c r="B12" s="1" t="s">
        <v>20</v>
      </c>
      <c r="C12" s="35" t="s">
        <v>27</v>
      </c>
      <c r="D12" s="36">
        <v>0.08</v>
      </c>
    </row>
    <row r="13" spans="1:5" x14ac:dyDescent="0.25">
      <c r="A13" s="30" t="str">
        <f t="shared" si="1"/>
        <v>Moderado- FOFs</v>
      </c>
      <c r="B13" s="1" t="s">
        <v>20</v>
      </c>
      <c r="C13" s="35" t="s">
        <v>28</v>
      </c>
      <c r="D13" s="36">
        <v>0.05</v>
      </c>
    </row>
    <row r="14" spans="1:5" x14ac:dyDescent="0.25">
      <c r="A14" s="30" t="str">
        <f t="shared" si="1"/>
        <v>Moderado- DESENVOLVIMENTO</v>
      </c>
      <c r="B14" s="1" t="s">
        <v>20</v>
      </c>
      <c r="C14" s="35" t="s">
        <v>29</v>
      </c>
      <c r="D14" s="36">
        <v>0.1</v>
      </c>
    </row>
    <row r="15" spans="1:5" ht="15.75" thickBot="1" x14ac:dyDescent="0.3">
      <c r="A15" s="31" t="str">
        <f t="shared" si="1"/>
        <v>Moderado- HOTELARIAS</v>
      </c>
      <c r="B15" s="1" t="s">
        <v>20</v>
      </c>
      <c r="C15" s="37" t="s">
        <v>30</v>
      </c>
      <c r="D15" s="38">
        <v>0.1</v>
      </c>
    </row>
    <row r="16" spans="1:5" ht="15.75" thickBot="1" x14ac:dyDescent="0.3">
      <c r="E16">
        <v>2</v>
      </c>
    </row>
    <row r="17" spans="1:4" x14ac:dyDescent="0.25">
      <c r="A17" s="39" t="s">
        <v>32</v>
      </c>
      <c r="B17" s="40" t="s">
        <v>33</v>
      </c>
      <c r="C17" s="40" t="s">
        <v>34</v>
      </c>
      <c r="D17" s="41" t="s">
        <v>35</v>
      </c>
    </row>
    <row r="18" spans="1:4" x14ac:dyDescent="0.25">
      <c r="A18" s="30" t="str">
        <f>$B18&amp;"-"&amp;$C18</f>
        <v>Agressivo-PAPEL</v>
      </c>
      <c r="B18" s="1" t="s">
        <v>22</v>
      </c>
      <c r="C18" s="35" t="s">
        <v>31</v>
      </c>
      <c r="D18" s="36">
        <v>0.5</v>
      </c>
    </row>
    <row r="19" spans="1:4" x14ac:dyDescent="0.25">
      <c r="A19" s="30" t="str">
        <f t="shared" ref="A19:A23" si="2">$B19&amp;"-"&amp;$C19</f>
        <v>Agressivo- TIJOLO</v>
      </c>
      <c r="B19" s="1" t="s">
        <v>22</v>
      </c>
      <c r="C19" s="35" t="s">
        <v>26</v>
      </c>
      <c r="D19" s="36">
        <v>0.1</v>
      </c>
    </row>
    <row r="20" spans="1:4" x14ac:dyDescent="0.25">
      <c r="A20" s="30" t="str">
        <f t="shared" si="2"/>
        <v>Agressivo- HÍBRIDOS</v>
      </c>
      <c r="B20" s="1" t="s">
        <v>22</v>
      </c>
      <c r="C20" s="35" t="s">
        <v>27</v>
      </c>
      <c r="D20" s="36">
        <v>0.05</v>
      </c>
    </row>
    <row r="21" spans="1:4" x14ac:dyDescent="0.25">
      <c r="A21" s="30" t="str">
        <f t="shared" si="2"/>
        <v>Agressivo- FOFs</v>
      </c>
      <c r="B21" s="1" t="s">
        <v>22</v>
      </c>
      <c r="C21" s="35" t="s">
        <v>28</v>
      </c>
      <c r="D21" s="36">
        <v>0.05</v>
      </c>
    </row>
    <row r="22" spans="1:4" x14ac:dyDescent="0.25">
      <c r="A22" s="30" t="str">
        <f t="shared" si="2"/>
        <v>Agressivo- DESENVOLVIMENTO</v>
      </c>
      <c r="B22" s="1" t="s">
        <v>22</v>
      </c>
      <c r="C22" s="35" t="s">
        <v>29</v>
      </c>
      <c r="D22" s="36">
        <v>0.2</v>
      </c>
    </row>
    <row r="23" spans="1:4" ht="15.75" thickBot="1" x14ac:dyDescent="0.3">
      <c r="A23" s="31" t="str">
        <f t="shared" si="2"/>
        <v>Agressivo- HOTELARIAS</v>
      </c>
      <c r="B23" s="1" t="s">
        <v>22</v>
      </c>
      <c r="C23" s="37" t="s">
        <v>30</v>
      </c>
      <c r="D23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Lima</dc:creator>
  <cp:lastModifiedBy>Fran Lima</cp:lastModifiedBy>
  <dcterms:created xsi:type="dcterms:W3CDTF">2026-01-12T20:12:41Z</dcterms:created>
  <dcterms:modified xsi:type="dcterms:W3CDTF">2026-01-12T21:41:57Z</dcterms:modified>
</cp:coreProperties>
</file>